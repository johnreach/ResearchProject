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28755" windowHeight="1309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F42" i="1"/>
  <c r="E42"/>
  <c r="D42"/>
  <c r="D43" s="1"/>
  <c r="C42"/>
  <c r="B42"/>
  <c r="B43" s="1"/>
  <c r="F19"/>
  <c r="E19"/>
  <c r="D19"/>
  <c r="D20" s="1"/>
  <c r="C19"/>
  <c r="B19"/>
  <c r="B20" s="1"/>
  <c r="C43" l="1"/>
  <c r="E43"/>
  <c r="C20"/>
  <c r="E20"/>
</calcChain>
</file>

<file path=xl/sharedStrings.xml><?xml version="1.0" encoding="utf-8"?>
<sst xmlns="http://schemas.openxmlformats.org/spreadsheetml/2006/main" count="65" uniqueCount="47">
  <si>
    <t>checkstyle</t>
  </si>
  <si>
    <t>vietocr</t>
  </si>
  <si>
    <t>ice4j</t>
  </si>
  <si>
    <t>ehcache</t>
  </si>
  <si>
    <t>weka</t>
  </si>
  <si>
    <t>migen</t>
  </si>
  <si>
    <t>squirrel-sql</t>
  </si>
  <si>
    <t>encuestame</t>
  </si>
  <si>
    <t>scsreader</t>
  </si>
  <si>
    <t>pathvisio</t>
  </si>
  <si>
    <t>zkdesktop</t>
  </si>
  <si>
    <t>hummingbird</t>
  </si>
  <si>
    <t>flowgame</t>
  </si>
  <si>
    <t>jedit</t>
  </si>
  <si>
    <t>religion-search</t>
  </si>
  <si>
    <t>libgdx</t>
  </si>
  <si>
    <t>bbssh</t>
  </si>
  <si>
    <t>subclipse</t>
  </si>
  <si>
    <t>findbugs</t>
  </si>
  <si>
    <t>maven-3</t>
  </si>
  <si>
    <t>xbup</t>
  </si>
  <si>
    <t>opensso</t>
  </si>
  <si>
    <t>org.eclipse.jdt.apt.core</t>
  </si>
  <si>
    <t>ant</t>
  </si>
  <si>
    <t>posterita</t>
  </si>
  <si>
    <t>org.eclipse.jdt</t>
  </si>
  <si>
    <t>mobac</t>
  </si>
  <si>
    <t>hibernate</t>
  </si>
  <si>
    <t>lucene</t>
  </si>
  <si>
    <t>junit</t>
  </si>
  <si>
    <t>springframework</t>
  </si>
  <si>
    <t>azureus</t>
  </si>
  <si>
    <t>commons-collections</t>
  </si>
  <si>
    <t>red5</t>
  </si>
  <si>
    <t>smslib</t>
  </si>
  <si>
    <t>eclipse-cs</t>
  </si>
  <si>
    <t>makagiga</t>
  </si>
  <si>
    <t>Project</t>
  </si>
  <si>
    <t>Multiple</t>
  </si>
  <si>
    <t>Wildcards</t>
  </si>
  <si>
    <t>Bounded</t>
  </si>
  <si>
    <t>Nested</t>
  </si>
  <si>
    <t>Total</t>
  </si>
  <si>
    <t>Type</t>
  </si>
  <si>
    <t>OLD</t>
  </si>
  <si>
    <t>TOTAL</t>
  </si>
  <si>
    <t>PERCENT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</si>
</sst>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topLeftCell="A25" workbookViewId="0">
      <selection activeCell="F43" sqref="F43"/>
    </sheetView>
  </sheetViews>
  <sheetFormatPr defaultRowHeight="15"/>
  <sheetData>
    <row r="1" spans="1:7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</row>
    <row r="2" spans="1:7">
      <c r="A2" t="s">
        <v>0</v>
      </c>
      <c r="B2">
        <v>0</v>
      </c>
      <c r="C2">
        <v>4</v>
      </c>
      <c r="D2">
        <v>0</v>
      </c>
      <c r="E2">
        <v>0</v>
      </c>
      <c r="F2">
        <v>8</v>
      </c>
      <c r="G2" t="s">
        <v>44</v>
      </c>
    </row>
    <row r="3" spans="1:7">
      <c r="A3" t="s">
        <v>4</v>
      </c>
      <c r="B3">
        <v>21</v>
      </c>
      <c r="C3">
        <v>8</v>
      </c>
      <c r="D3">
        <v>2</v>
      </c>
      <c r="E3">
        <v>0</v>
      </c>
      <c r="F3">
        <v>325</v>
      </c>
      <c r="G3" t="s">
        <v>44</v>
      </c>
    </row>
    <row r="4" spans="1:7">
      <c r="A4" t="s">
        <v>6</v>
      </c>
      <c r="B4">
        <v>494</v>
      </c>
      <c r="C4">
        <v>179</v>
      </c>
      <c r="D4">
        <v>25</v>
      </c>
      <c r="E4">
        <v>1</v>
      </c>
      <c r="F4">
        <v>2879</v>
      </c>
      <c r="G4" t="s">
        <v>44</v>
      </c>
    </row>
    <row r="5" spans="1:7">
      <c r="A5" t="s">
        <v>13</v>
      </c>
      <c r="B5">
        <v>2231</v>
      </c>
      <c r="C5">
        <v>190</v>
      </c>
      <c r="D5">
        <v>51</v>
      </c>
      <c r="E5">
        <v>10</v>
      </c>
      <c r="F5">
        <v>11320</v>
      </c>
      <c r="G5" t="s">
        <v>44</v>
      </c>
    </row>
    <row r="6" spans="1:7">
      <c r="A6" t="s">
        <v>17</v>
      </c>
      <c r="B6">
        <v>31</v>
      </c>
      <c r="C6">
        <v>0</v>
      </c>
      <c r="D6">
        <v>0</v>
      </c>
      <c r="E6">
        <v>0</v>
      </c>
      <c r="F6">
        <v>235</v>
      </c>
      <c r="G6" t="s">
        <v>44</v>
      </c>
    </row>
    <row r="7" spans="1:7">
      <c r="A7" t="s">
        <v>18</v>
      </c>
      <c r="B7">
        <v>3684</v>
      </c>
      <c r="C7">
        <v>902</v>
      </c>
      <c r="D7">
        <v>497</v>
      </c>
      <c r="E7">
        <v>128</v>
      </c>
      <c r="F7">
        <v>16025</v>
      </c>
      <c r="G7" t="s">
        <v>44</v>
      </c>
    </row>
    <row r="8" spans="1:7">
      <c r="A8" t="s">
        <v>19</v>
      </c>
      <c r="B8">
        <v>1110</v>
      </c>
      <c r="C8">
        <v>315</v>
      </c>
      <c r="D8">
        <v>149</v>
      </c>
      <c r="E8">
        <v>8</v>
      </c>
      <c r="F8">
        <v>9956</v>
      </c>
      <c r="G8" t="s">
        <v>44</v>
      </c>
    </row>
    <row r="9" spans="1:7">
      <c r="A9" t="s">
        <v>22</v>
      </c>
      <c r="B9">
        <v>826</v>
      </c>
      <c r="C9">
        <v>81</v>
      </c>
      <c r="D9">
        <v>36</v>
      </c>
      <c r="E9">
        <v>2</v>
      </c>
      <c r="F9">
        <v>2795</v>
      </c>
      <c r="G9" t="s">
        <v>44</v>
      </c>
    </row>
    <row r="10" spans="1:7">
      <c r="A10" t="s">
        <v>23</v>
      </c>
      <c r="B10">
        <v>2</v>
      </c>
      <c r="C10">
        <v>0</v>
      </c>
      <c r="D10">
        <v>0</v>
      </c>
      <c r="E10">
        <v>0</v>
      </c>
      <c r="F10">
        <v>10</v>
      </c>
      <c r="G10" t="s">
        <v>44</v>
      </c>
    </row>
    <row r="11" spans="1:7">
      <c r="A11" t="s">
        <v>25</v>
      </c>
      <c r="B11">
        <v>1555</v>
      </c>
      <c r="C11">
        <v>1457</v>
      </c>
      <c r="D11">
        <v>968</v>
      </c>
      <c r="E11">
        <v>54</v>
      </c>
      <c r="F11">
        <v>7269</v>
      </c>
      <c r="G11" t="s">
        <v>44</v>
      </c>
    </row>
    <row r="12" spans="1:7">
      <c r="A12" t="s">
        <v>27</v>
      </c>
      <c r="B12">
        <v>0</v>
      </c>
      <c r="C12">
        <v>0</v>
      </c>
      <c r="D12">
        <v>0</v>
      </c>
      <c r="E12">
        <v>0</v>
      </c>
      <c r="F12">
        <v>104</v>
      </c>
      <c r="G12" t="s">
        <v>44</v>
      </c>
    </row>
    <row r="13" spans="1:7">
      <c r="A13" t="s">
        <v>28</v>
      </c>
      <c r="B13">
        <v>2947</v>
      </c>
      <c r="C13">
        <v>784</v>
      </c>
      <c r="D13">
        <v>294</v>
      </c>
      <c r="E13">
        <v>46</v>
      </c>
      <c r="F13">
        <v>9206</v>
      </c>
      <c r="G13" t="s">
        <v>44</v>
      </c>
    </row>
    <row r="14" spans="1:7">
      <c r="A14" t="s">
        <v>29</v>
      </c>
      <c r="B14">
        <v>6</v>
      </c>
      <c r="C14">
        <v>1103</v>
      </c>
      <c r="D14">
        <v>296</v>
      </c>
      <c r="E14">
        <v>14</v>
      </c>
      <c r="F14">
        <v>2770</v>
      </c>
      <c r="G14" t="s">
        <v>44</v>
      </c>
    </row>
    <row r="15" spans="1:7">
      <c r="A15" t="s">
        <v>30</v>
      </c>
      <c r="B15">
        <v>1447</v>
      </c>
      <c r="C15">
        <v>2657</v>
      </c>
      <c r="D15">
        <v>684</v>
      </c>
      <c r="E15">
        <v>16</v>
      </c>
      <c r="F15">
        <v>10654</v>
      </c>
      <c r="G15" t="s">
        <v>44</v>
      </c>
    </row>
    <row r="16" spans="1:7">
      <c r="A16" t="s">
        <v>31</v>
      </c>
      <c r="B16">
        <v>1786</v>
      </c>
      <c r="C16">
        <v>639</v>
      </c>
      <c r="D16">
        <v>24</v>
      </c>
      <c r="E16">
        <v>42</v>
      </c>
      <c r="F16">
        <v>6462</v>
      </c>
      <c r="G16" t="s">
        <v>44</v>
      </c>
    </row>
    <row r="17" spans="1:7">
      <c r="A17" t="s">
        <v>32</v>
      </c>
      <c r="B17">
        <v>3025</v>
      </c>
      <c r="C17">
        <v>1618</v>
      </c>
      <c r="D17">
        <v>654</v>
      </c>
      <c r="E17">
        <v>24</v>
      </c>
      <c r="F17">
        <v>8079</v>
      </c>
      <c r="G17" t="s">
        <v>44</v>
      </c>
    </row>
    <row r="18" spans="1:7">
      <c r="A18" t="s">
        <v>35</v>
      </c>
      <c r="B18">
        <v>14</v>
      </c>
      <c r="C18">
        <v>18</v>
      </c>
      <c r="D18">
        <v>4</v>
      </c>
      <c r="E18">
        <v>0</v>
      </c>
      <c r="F18">
        <v>134</v>
      </c>
      <c r="G18" t="s">
        <v>44</v>
      </c>
    </row>
    <row r="19" spans="1:7">
      <c r="A19" s="1" t="s">
        <v>45</v>
      </c>
      <c r="B19">
        <f>SUM(B2:B18)</f>
        <v>19179</v>
      </c>
      <c r="C19">
        <f>SUM(C2:C18)</f>
        <v>9955</v>
      </c>
      <c r="D19">
        <f>SUM(D2:D18)</f>
        <v>3684</v>
      </c>
      <c r="E19">
        <f>SUM(E2:E18)</f>
        <v>345</v>
      </c>
      <c r="F19">
        <f>SUM(F2:F18)</f>
        <v>88231</v>
      </c>
    </row>
    <row r="20" spans="1:7">
      <c r="A20" s="1" t="s">
        <v>46</v>
      </c>
      <c r="B20" s="2">
        <f>B19/F19</f>
        <v>0.21737257879883487</v>
      </c>
      <c r="C20" s="2">
        <f>C19/F19</f>
        <v>0.1128288243361177</v>
      </c>
      <c r="D20" s="2">
        <f>D19/F19</f>
        <v>4.1754032029558769E-2</v>
      </c>
      <c r="E20" s="2">
        <f>E19/F19</f>
        <v>3.9101902959277355E-3</v>
      </c>
    </row>
    <row r="21" spans="1:7">
      <c r="A21" s="1"/>
    </row>
    <row r="22" spans="1:7">
      <c r="A22" t="s">
        <v>1</v>
      </c>
      <c r="B22">
        <v>76</v>
      </c>
      <c r="C22">
        <v>4</v>
      </c>
      <c r="D22">
        <v>0</v>
      </c>
      <c r="E22">
        <v>0</v>
      </c>
      <c r="F22">
        <v>739</v>
      </c>
    </row>
    <row r="23" spans="1:7">
      <c r="A23" t="s">
        <v>2</v>
      </c>
      <c r="B23">
        <v>88</v>
      </c>
      <c r="C23">
        <v>20</v>
      </c>
      <c r="D23">
        <v>0</v>
      </c>
      <c r="E23">
        <v>2</v>
      </c>
      <c r="F23">
        <v>595</v>
      </c>
    </row>
    <row r="24" spans="1:7">
      <c r="A24" t="s">
        <v>3</v>
      </c>
      <c r="B24">
        <v>996</v>
      </c>
      <c r="C24">
        <v>411</v>
      </c>
      <c r="D24">
        <v>117</v>
      </c>
      <c r="E24">
        <v>15</v>
      </c>
      <c r="F24">
        <v>4140</v>
      </c>
    </row>
    <row r="25" spans="1:7">
      <c r="A25" t="s">
        <v>5</v>
      </c>
      <c r="B25">
        <v>5424</v>
      </c>
      <c r="C25">
        <v>6414</v>
      </c>
      <c r="D25">
        <v>1032</v>
      </c>
      <c r="E25">
        <v>511</v>
      </c>
      <c r="F25">
        <v>55525</v>
      </c>
    </row>
    <row r="26" spans="1:7">
      <c r="A26" t="s">
        <v>7</v>
      </c>
      <c r="B26">
        <v>524</v>
      </c>
      <c r="C26">
        <v>148</v>
      </c>
      <c r="D26">
        <v>22</v>
      </c>
      <c r="E26">
        <v>12</v>
      </c>
      <c r="F26">
        <v>8184</v>
      </c>
    </row>
    <row r="27" spans="1:7">
      <c r="A27" t="s">
        <v>8</v>
      </c>
      <c r="B27">
        <v>0</v>
      </c>
      <c r="C27">
        <v>0</v>
      </c>
      <c r="D27">
        <v>0</v>
      </c>
      <c r="E27">
        <v>0</v>
      </c>
      <c r="F27">
        <v>4</v>
      </c>
    </row>
    <row r="28" spans="1:7">
      <c r="A28" t="s">
        <v>9</v>
      </c>
      <c r="B28">
        <v>1909</v>
      </c>
      <c r="C28">
        <v>254</v>
      </c>
      <c r="D28">
        <v>65</v>
      </c>
      <c r="E28">
        <v>20</v>
      </c>
      <c r="F28">
        <v>7985</v>
      </c>
    </row>
    <row r="29" spans="1:7">
      <c r="A29" t="s">
        <v>10</v>
      </c>
      <c r="B29">
        <v>99</v>
      </c>
      <c r="C29">
        <v>74</v>
      </c>
      <c r="D29">
        <v>0</v>
      </c>
      <c r="E29">
        <v>16</v>
      </c>
      <c r="F29">
        <v>281</v>
      </c>
    </row>
    <row r="30" spans="1:7">
      <c r="A30" t="s">
        <v>11</v>
      </c>
      <c r="B30">
        <v>501</v>
      </c>
      <c r="C30">
        <v>759</v>
      </c>
      <c r="D30">
        <v>722</v>
      </c>
      <c r="E30">
        <v>0</v>
      </c>
      <c r="F30">
        <v>2361</v>
      </c>
    </row>
    <row r="31" spans="1:7">
      <c r="A31" t="s">
        <v>12</v>
      </c>
      <c r="B31">
        <v>26</v>
      </c>
      <c r="C31">
        <v>14</v>
      </c>
      <c r="D31">
        <v>8</v>
      </c>
      <c r="E31">
        <v>0</v>
      </c>
      <c r="F31">
        <v>590</v>
      </c>
    </row>
    <row r="32" spans="1:7">
      <c r="A32" t="s">
        <v>14</v>
      </c>
      <c r="B32">
        <v>4</v>
      </c>
      <c r="C32">
        <v>0</v>
      </c>
      <c r="D32">
        <v>0</v>
      </c>
      <c r="E32">
        <v>0</v>
      </c>
      <c r="F32">
        <v>162</v>
      </c>
    </row>
    <row r="33" spans="1:6">
      <c r="A33" t="s">
        <v>15</v>
      </c>
      <c r="B33">
        <v>708</v>
      </c>
      <c r="C33">
        <v>329</v>
      </c>
      <c r="D33">
        <v>16</v>
      </c>
      <c r="E33">
        <v>6</v>
      </c>
      <c r="F33">
        <v>3646</v>
      </c>
    </row>
    <row r="34" spans="1:6">
      <c r="A34" t="s">
        <v>16</v>
      </c>
      <c r="B34">
        <v>0</v>
      </c>
      <c r="C34">
        <v>0</v>
      </c>
      <c r="D34">
        <v>0</v>
      </c>
      <c r="E34">
        <v>0</v>
      </c>
      <c r="F34">
        <v>6</v>
      </c>
    </row>
    <row r="35" spans="1:6">
      <c r="A35" t="s">
        <v>20</v>
      </c>
      <c r="B35">
        <v>537</v>
      </c>
      <c r="C35">
        <v>114</v>
      </c>
      <c r="D35">
        <v>0</v>
      </c>
      <c r="E35">
        <v>0</v>
      </c>
      <c r="F35">
        <v>5854</v>
      </c>
    </row>
    <row r="36" spans="1:6">
      <c r="A36" t="s">
        <v>21</v>
      </c>
      <c r="B36">
        <v>3958</v>
      </c>
      <c r="C36">
        <v>34</v>
      </c>
      <c r="D36">
        <v>14</v>
      </c>
      <c r="E36">
        <v>97</v>
      </c>
      <c r="F36">
        <v>14096</v>
      </c>
    </row>
    <row r="37" spans="1:6">
      <c r="A37" t="s">
        <v>24</v>
      </c>
      <c r="B37">
        <v>993</v>
      </c>
      <c r="C37">
        <v>8305</v>
      </c>
      <c r="D37">
        <v>17</v>
      </c>
      <c r="E37">
        <v>8</v>
      </c>
      <c r="F37">
        <v>15109</v>
      </c>
    </row>
    <row r="38" spans="1:6">
      <c r="A38" t="s">
        <v>26</v>
      </c>
      <c r="B38">
        <v>132</v>
      </c>
      <c r="C38">
        <v>245</v>
      </c>
      <c r="D38">
        <v>149</v>
      </c>
      <c r="E38">
        <v>0</v>
      </c>
      <c r="F38">
        <v>1625</v>
      </c>
    </row>
    <row r="39" spans="1:6">
      <c r="A39" t="s">
        <v>33</v>
      </c>
      <c r="B39">
        <v>1272</v>
      </c>
      <c r="C39">
        <v>468</v>
      </c>
      <c r="D39">
        <v>30</v>
      </c>
      <c r="E39">
        <v>16</v>
      </c>
      <c r="F39">
        <v>3246</v>
      </c>
    </row>
    <row r="40" spans="1:6">
      <c r="A40" t="s">
        <v>34</v>
      </c>
      <c r="B40">
        <v>40</v>
      </c>
      <c r="C40">
        <v>54</v>
      </c>
      <c r="D40">
        <v>24</v>
      </c>
      <c r="E40">
        <v>0</v>
      </c>
      <c r="F40">
        <v>817</v>
      </c>
    </row>
    <row r="41" spans="1:6">
      <c r="A41" t="s">
        <v>36</v>
      </c>
      <c r="B41">
        <v>1640</v>
      </c>
      <c r="C41">
        <v>2282</v>
      </c>
      <c r="D41">
        <v>377</v>
      </c>
      <c r="E41">
        <v>68</v>
      </c>
      <c r="F41">
        <v>10032</v>
      </c>
    </row>
    <row r="42" spans="1:6">
      <c r="A42" s="1" t="s">
        <v>45</v>
      </c>
      <c r="B42">
        <f>SUM(B22:B41)</f>
        <v>18927</v>
      </c>
      <c r="C42">
        <f>SUM(C22:C41)</f>
        <v>19929</v>
      </c>
      <c r="D42">
        <f>SUM(D22:D41)</f>
        <v>2593</v>
      </c>
      <c r="E42">
        <f>SUM(E22:E41)</f>
        <v>771</v>
      </c>
      <c r="F42">
        <f>SUM(F22:F41)</f>
        <v>134997</v>
      </c>
    </row>
    <row r="43" spans="1:6">
      <c r="A43" s="1" t="s">
        <v>46</v>
      </c>
      <c r="B43" s="2">
        <f>B42/F42</f>
        <v>0.14020311562479165</v>
      </c>
      <c r="C43" s="2">
        <f>C42/F42</f>
        <v>0.14762550278895087</v>
      </c>
      <c r="D43" s="2">
        <f>D42/F42</f>
        <v>1.9207834248168479E-2</v>
      </c>
      <c r="E43" s="2">
        <f>E42/F42</f>
        <v>5.7112380275117225E-3</v>
      </c>
    </row>
  </sheetData>
  <sortState ref="A2:G18">
    <sortCondition ref="A2:A18"/>
    <sortCondition ref="F2:F18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24" workbookViewId="0">
      <selection activeCell="B51" sqref="B51"/>
    </sheetView>
  </sheetViews>
  <sheetFormatPr defaultRowHeight="15"/>
  <sheetData/>
  <sortState ref="A1:G37">
    <sortCondition ref="G1:G3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Prima</dc:creator>
  <cp:lastModifiedBy>Prima</cp:lastModifiedBy>
  <dcterms:created xsi:type="dcterms:W3CDTF">2011-09-17T17:19:43Z</dcterms:created>
  <dcterms:modified xsi:type="dcterms:W3CDTF">2012-07-15T16:58:48Z</dcterms:modified>
</cp:coreProperties>
</file>